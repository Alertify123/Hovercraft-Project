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xr:revisionPtr revIDLastSave="0" documentId="8_{D3B9F9AE-DA3A-465D-AA87-98ACF773B2C4}" xr6:coauthVersionLast="47" xr6:coauthVersionMax="47" xr10:uidLastSave="{00000000-0000-0000-0000-000000000000}"/>
  <bookViews>
    <workbookView xWindow="240" yWindow="105" windowWidth="14805" windowHeight="8010" firstSheet="4" activeTab="4" xr2:uid="{00000000-000D-0000-FFFF-FFFF00000000}"/>
  </bookViews>
  <sheets>
    <sheet name="Batteries" sheetId="1" r:id="rId1"/>
    <sheet name="Fans" sheetId="2" r:id="rId2"/>
    <sheet name="Servo Motor" sheetId="3" r:id="rId3"/>
    <sheet name="Sensor &amp; Cable" sheetId="4" r:id="rId4"/>
    <sheet name="Design Calculations" sheetId="5" r:id="rId5"/>
    <sheet name="Decision matrix" sheetId="6" r:id="rId6"/>
    <sheet name="Sheet1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8" i="5" l="1"/>
  <c r="B59" i="5"/>
  <c r="B61" i="5" s="1"/>
  <c r="B62" i="5" s="1"/>
  <c r="B58" i="5"/>
  <c r="B7" i="7"/>
  <c r="B9" i="7" s="1"/>
  <c r="B10" i="7" s="1"/>
  <c r="B6" i="7"/>
  <c r="B43" i="5"/>
  <c r="B42" i="5"/>
  <c r="B44" i="5" s="1"/>
  <c r="B33" i="5"/>
  <c r="B30" i="5"/>
  <c r="B27" i="5"/>
  <c r="B29" i="5" s="1"/>
  <c r="B31" i="5" s="1"/>
  <c r="B120" i="5"/>
  <c r="H119" i="5"/>
  <c r="F119" i="5"/>
  <c r="D119" i="5"/>
  <c r="H118" i="5"/>
  <c r="D118" i="5"/>
  <c r="H117" i="5"/>
  <c r="F117" i="5"/>
  <c r="D117" i="5"/>
  <c r="H116" i="5"/>
  <c r="F116" i="5"/>
  <c r="D116" i="5"/>
  <c r="H115" i="5"/>
  <c r="H120" i="5" s="1"/>
  <c r="F115" i="5"/>
  <c r="F120" i="5" s="1"/>
  <c r="D115" i="5"/>
  <c r="D120" i="5" s="1"/>
  <c r="C12" i="5"/>
  <c r="B21" i="5" s="1"/>
  <c r="B28" i="5" s="1"/>
  <c r="D2" i="6"/>
  <c r="F2" i="6"/>
  <c r="H2" i="6"/>
  <c r="D3" i="6"/>
  <c r="F3" i="6"/>
  <c r="H3" i="6"/>
  <c r="D4" i="6"/>
  <c r="F4" i="6"/>
  <c r="H4" i="6"/>
  <c r="D5" i="6"/>
  <c r="F5" i="6"/>
  <c r="H5" i="6"/>
  <c r="D6" i="6"/>
  <c r="F6" i="6"/>
  <c r="H6" i="6"/>
  <c r="B7" i="6"/>
  <c r="D7" i="6"/>
  <c r="F7" i="6"/>
  <c r="H7" i="6"/>
  <c r="B85" i="5"/>
  <c r="H84" i="5"/>
  <c r="G84" i="5"/>
  <c r="F84" i="5"/>
  <c r="H83" i="5"/>
  <c r="G83" i="5"/>
  <c r="F83" i="5"/>
  <c r="H82" i="5"/>
  <c r="G82" i="5"/>
  <c r="F82" i="5"/>
  <c r="H81" i="5"/>
  <c r="G81" i="5"/>
  <c r="F81" i="5"/>
  <c r="H80" i="5"/>
  <c r="G80" i="5"/>
  <c r="F80" i="5"/>
  <c r="H79" i="5"/>
  <c r="G79" i="5"/>
  <c r="F79" i="5"/>
  <c r="H78" i="5"/>
  <c r="G78" i="5"/>
  <c r="F78" i="5"/>
  <c r="H77" i="5"/>
  <c r="G77" i="5"/>
  <c r="F77" i="5"/>
  <c r="H76" i="5"/>
  <c r="G76" i="5"/>
  <c r="F76" i="5"/>
  <c r="H75" i="5"/>
  <c r="H85" i="5" s="1"/>
  <c r="B89" i="5" s="1"/>
  <c r="G75" i="5"/>
  <c r="G85" i="5" s="1"/>
  <c r="B88" i="5" s="1"/>
  <c r="F75" i="5"/>
  <c r="F85" i="5" s="1"/>
  <c r="B87" i="5" s="1"/>
  <c r="B99" i="5"/>
  <c r="B98" i="5"/>
  <c r="D12" i="5"/>
  <c r="B12" i="5"/>
  <c r="B46" i="5" l="1"/>
  <c r="B45" i="5"/>
  <c r="B32" i="5"/>
  <c r="B48" i="5" l="1"/>
  <c r="B47" i="5"/>
</calcChain>
</file>

<file path=xl/sharedStrings.xml><?xml version="1.0" encoding="utf-8"?>
<sst xmlns="http://schemas.openxmlformats.org/spreadsheetml/2006/main" count="354" uniqueCount="283">
  <si>
    <t>•	Turnigy nano-tech 180mAh 2S 25-40C.</t>
  </si>
  <si>
    <t>•	Rhino 360 2S 20C series</t>
  </si>
  <si>
    <t>•	Gens 450 (ACE25-0450-0201)</t>
  </si>
  <si>
    <t>•	Rhino 460 2S 20C series</t>
  </si>
  <si>
    <t>•	GRAVITY 2200 mAh 4S 30C LiPo</t>
  </si>
  <si>
    <t>Capacity (mAh)</t>
  </si>
  <si>
    <t>180mAh</t>
  </si>
  <si>
    <t>360mAh</t>
  </si>
  <si>
    <t>450mAh</t>
  </si>
  <si>
    <t>460mAh</t>
  </si>
  <si>
    <t>2200mAh</t>
  </si>
  <si>
    <t>Voltage</t>
  </si>
  <si>
    <r>
      <t>2</t>
    </r>
    <r>
      <rPr>
        <b/>
        <sz val="12"/>
        <color rgb="FF000000"/>
        <rFont val="Roboto"/>
        <family val="2"/>
        <charset val="1"/>
      </rPr>
      <t>S1P / 2 Cell / 7.4V</t>
    </r>
  </si>
  <si>
    <t>2S/ 7.4v</t>
  </si>
  <si>
    <t>2S / 7.4V / 2Cells</t>
  </si>
  <si>
    <t>2S /7.4v</t>
  </si>
  <si>
    <t>4S1P / 14.8v / 4Cell</t>
  </si>
  <si>
    <t>Discharge</t>
  </si>
  <si>
    <t>25C Constant / 40C Burst</t>
  </si>
  <si>
    <t>20c/ 30c burst</t>
  </si>
  <si>
    <t>45c/50C burst</t>
  </si>
  <si>
    <t>20c / 30c burst</t>
  </si>
  <si>
    <t>30c/40c burst</t>
  </si>
  <si>
    <t>Weight (g)</t>
  </si>
  <si>
    <t>13g (including wire, plug &amp; case)</t>
  </si>
  <si>
    <t>22.5g</t>
  </si>
  <si>
    <t>28g +-5</t>
  </si>
  <si>
    <t>28.5g</t>
  </si>
  <si>
    <t>258g</t>
  </si>
  <si>
    <t xml:space="preserve"> Dimensions (mm)</t>
  </si>
  <si>
    <r>
      <t> </t>
    </r>
    <r>
      <rPr>
        <b/>
        <sz val="12"/>
        <color rgb="FF000000"/>
        <rFont val="Roboto"/>
        <family val="2"/>
        <charset val="1"/>
      </rPr>
      <t>35x20x10mm</t>
    </r>
  </si>
  <si>
    <t>43x15x21mm</t>
  </si>
  <si>
    <t>56/31/11mm</t>
  </si>
  <si>
    <t>52x30x8mm</t>
  </si>
  <si>
    <t>105x34x35</t>
  </si>
  <si>
    <t>•	MEC0251V1-000U-A99 (259-1470-ND Note3)</t>
  </si>
  <si>
    <t xml:space="preserve">•	AFB1212SH (603-1334-ND Note3) </t>
  </si>
  <si>
    <t>Type (axial/ducted), Size (mm), Weight (g)</t>
  </si>
  <si>
    <t>Rated V (V), Operating V range</t>
  </si>
  <si>
    <t>Current @ rated (A), Power (W)</t>
  </si>
  <si>
    <t>Free-air flow (CFM or L/s)</t>
  </si>
  <si>
    <t>Max static pressure</t>
  </si>
  <si>
    <t>P–Q curve link</t>
  </si>
  <si>
    <t>Noise (dBA)</t>
  </si>
  <si>
    <t>Mounting pattern / hole spacing (mm)</t>
  </si>
  <si>
    <t> </t>
  </si>
  <si>
    <t>Axial, 120 × 120 × 25 mm, ~162 g</t>
  </si>
  <si>
    <t>Axial, 120 × 120 × 25.4 mm, ~198 g</t>
  </si>
  <si>
    <t>12 VDC; ~6-13.8 VDC</t>
  </si>
  <si>
    <t>12 VDC; ~7-13.8 VDC</t>
  </si>
  <si>
    <t>0.455 A (≈5.5 W)</t>
  </si>
  <si>
    <t>0.530 A (≈6.36 W)</t>
  </si>
  <si>
    <t>108.2 CFM (~3.03 m³/min)</t>
  </si>
  <si>
    <t>113.1 CFM (~3.17 m³/min)</t>
  </si>
  <si>
    <t>0.28 in H₂O (~69.7 Pa)</t>
  </si>
  <si>
    <t>0.430 in H₂O (~107.1 Pa)</t>
  </si>
  <si>
    <t>44.5 dB(A)</t>
  </si>
  <si>
    <t>46.5 dB(A)</t>
  </si>
  <si>
    <t>Mounting pattern / Hole spacing (mm)</t>
  </si>
  <si>
    <t>120 × 120 mounting typically; exact hole-spacing not given in summary spec—refer to datasheet.</t>
  </si>
  <si>
    <t>For AFB1212 series: 120 × 120 nominal with mounting around 105 × 105 mm (see catalogue)</t>
  </si>
  <si>
    <t>•	HS-311 or similar</t>
  </si>
  <si>
    <t>•	DFRobot Micro Servo Motor (RB-Dfr-124)</t>
  </si>
  <si>
    <t>Operating V (V)</t>
  </si>
  <si>
    <t>4.8V TO 6.0V</t>
  </si>
  <si>
    <t>4.8 V to 6 V</t>
  </si>
  <si>
    <t>Stall torque (kg·cm or N·m) @ V</t>
  </si>
  <si>
    <t>3.0 kg·cm @4.8 V</t>
  </si>
  <si>
    <t>1.6 kg·cm @ 4.8 V</t>
  </si>
  <si>
    <t>Speed (s/60°) @ V</t>
  </si>
  <si>
    <t>0.19 s/60° @4.8 V</t>
  </si>
  <si>
    <t>0.12 s / 60° @ 4.8 V</t>
  </si>
  <si>
    <t>Stall current (A), No-load current (A)</t>
  </si>
  <si>
    <t>~700 mA @4.8 V, ~160 mA @4.8 V</t>
  </si>
  <si>
    <t>less than 500 mA, ≤350 mA (6 V)</t>
  </si>
  <si>
    <t>Rotation range (°), PWM spec (µs/Hz)</t>
  </si>
  <si>
    <t>80°, ~1500 µs neutral</t>
  </si>
  <si>
    <t>180° (±90°), 500 µs–2500 µs, neutral ~1500 µs</t>
  </si>
  <si>
    <t>Gear material (plastic/metal)</t>
  </si>
  <si>
    <t>RESIN</t>
  </si>
  <si>
    <t>plastic</t>
  </si>
  <si>
    <t>Weight (g), Dimensions (mm), Spline/Horn type</t>
  </si>
  <si>
    <t>43g(1.51oz), 40x20x36.5mm(1.57x0.78x1.43in), SUPER/R-XA</t>
  </si>
  <si>
    <t xml:space="preserve">9 g, 22.0 × 12.5 × 29.5 mm, </t>
  </si>
  <si>
    <t>GY-521 (MPU-6050) – IMU</t>
  </si>
  <si>
    <t xml:space="preserve">HC-SR04  – ultrasonic rangefinder </t>
  </si>
  <si>
    <t xml:space="preserve">•	MB1030-000 – ultrasonic rangefinder </t>
  </si>
  <si>
    <t>GP2Y0A02YK0F – analog infrared rangefinder</t>
  </si>
  <si>
    <t>GP2Y0A21YK0F - analog infrared rangefinder</t>
  </si>
  <si>
    <t>GP2Y0D21YK0F - digital infrared rangefinder</t>
  </si>
  <si>
    <t>GP2Y0E03 – TWI infrared rangefinder (analog)</t>
  </si>
  <si>
    <t>Supply V (V), Current (mA)</t>
  </si>
  <si>
    <t>VDD: 2.375–3.46 V; VLOGIC: 1.71 V to VDD, Accel-only: 0.5 mA; Accel low-power: 10–140 µA (1.25–40 Hz)</t>
  </si>
  <si>
    <t>5 V supply; working current ≈ 15 mA; quiescent &lt; 2 mA. Ultrasonic burst at 40 kHz.</t>
  </si>
  <si>
    <t>2.5–5.5 V supply; ~2 mA typical draw. Pin note: provide ~3 mA @5 V or 2 mA @3.3 V capability. Sensor operates at 42 kHz.</t>
  </si>
  <si>
    <t>4.5–5.5 V, Iavg ≈ 33 mA (typ), 50 mA (max).</t>
  </si>
  <si>
    <t>4.5–5.5 V; Iavg ≈ 30 mA (typ), 40 mA (max)</t>
  </si>
  <si>
    <t>4.5–5.5 V; Iavg typ 33 mA (max 40 mA).</t>
  </si>
  <si>
    <t>VDD 2.7–5.5 V; Iavg ≈ 26 mA (typ), 36 mA (max); Standby ≈ 20 µA (typ), 60 µA (max). Note: supply should handle ≥150 mA bursts (LED pulse current &gt;100 mA).</t>
  </si>
  <si>
    <t>Range (min–max)</t>
  </si>
  <si>
    <t>Accelerometer: ±2 g, ±4 g, ±8 g, ±16 g. Gyroscope: ±250, ±500, ±1000, ±2000 °/s.</t>
  </si>
  <si>
    <t>2 cm → 400 cm (recommended operating span)</t>
  </si>
  <si>
    <t>Reported range: 6–254 in (15.2–645 cm). Objects 0–6 in are detected but report as 6 in (“virtually no dead zone”).</t>
  </si>
  <si>
    <t>20–150 cm (analog distance output).</t>
  </si>
  <si>
    <t>10–80 cm.</t>
  </si>
  <si>
    <t>Digital “distance-judgement” at L = 24 ± 3 cm with built-in hysteresis; optics allow detection from ≈10 cm (see notes/curve). Output is HIGH when an object is within the specified range.</t>
  </si>
  <si>
    <t>4–50 cm (to reflective object).</t>
  </si>
  <si>
    <t>Accuracy / Resolution</t>
  </si>
  <si>
    <t>Resolution: 16-bit ADCs (both accel &amp; gyro). Accel sensitivity (LSB/g): 16384 (±2 g), 8192 (±4 g), 4096 (±8 g), 2048 (±16 g). Gyro sensitivity (LSB/(°/s)): 131 (±250), 65.5 (±500), 32.8 (±1000), 16.4 (±2000).</t>
  </si>
  <si>
    <t>≈ 3 mm (0.3 cm) resolution/accuracy (datasheet wording: “ranging accuracy can reach to 3mm”).</t>
  </si>
  <si>
    <t>1-inch resolution (all outputs).</t>
  </si>
  <si>
    <t>Datasheet gives analog output curve and output differential ≈ 2.05 V between 20 cm and 150 cm (use the plot to fit distance↔voltage for your sheet). Typical Vout at 150 cm ≈ 0.4 V.</t>
  </si>
  <si>
    <t>Analog output (16-bit not specified). Useful points from spec: Vout @ 80 cm ≈ 0.4 V (0.25–0.55 V) and ΔVout over 10–80 cm ≈ 1.9 V (1.65–2.15 V)Use the output curve to fit distance↔voltage.</t>
  </si>
  <si>
    <t>N/A (1-bit output). Key thresholds are the set distance (24 ± 3 cm) and the hysteresis width (see curve).</t>
  </si>
  <si>
    <t>Digital readout over I²C is in centimeters (examples: at actual 50 cm → 45–55 cm, 10 cm → 9–11 cm, 4 cm → 3–5 cm). Analog output examples: ~0.55 V @ 50 cm, ~2.0 V @ 10 cm, ~2.2 V @ 4 cm. Use the datasheet curve/table for fitting.</t>
  </si>
  <si>
    <t>Update rate (Hz)</t>
  </si>
  <si>
    <t>Gyro sample rate: programmable 3.9 Hz → 8 kHz (1 kHz when DLPF enabled). Accel sample rate: 1 kHz (1.024 kHz with external clock).</t>
  </si>
  <si>
    <t>Trigger with ≥ 10 μs pulse; recommended measurement cycle ≥ 60 ms, so ≤ ~16 Hz update rate. Echo pulse width ∝ distance (µs/58 ≈ cm)</t>
  </si>
  <si>
    <t>Measurement cycle ≈49–50 ms → ~20 Hz (after first power-up/cal cycle).</t>
  </si>
  <si>
    <t>Response period ≈ 38 ± 10 ms → ~26 Hz typical (can be as low as ~21 Hz)</t>
  </si>
  <si>
    <t>Response period ≈ 38.3 ms ± 9.6 ms → ~26 Hz.</t>
  </si>
  <si>
    <t>Measurement cycle 38.3 ± 9.6 ms → ~26 Hz. First stable output after 7.6 ± 1.9 ms from measurement start.</t>
  </si>
  <si>
    <t>Response time Ts ≤ 40 ms; after that, distance data updates every 20 ms (~50 Hz).</t>
  </si>
  <si>
    <t>FOV / Beam angle (°)</t>
  </si>
  <si>
    <t>N/A</t>
  </si>
  <si>
    <t>Measuring angle ~15° (effective cone).</t>
  </si>
  <si>
    <t>Narrow beam with good side-object rejection; typ. ~33° beam angle (distributor spec; use beam patterns for exact coverage).</t>
  </si>
  <si>
    <t>Not specified (triangulation sensor). Use alignment guidance in notes.</t>
  </si>
  <si>
    <t>Not specified as a single angle; datasheet shows a narrow beam profile curve (see “directional angle of emitting beam”).</t>
  </si>
  <si>
    <t>Interface (Analog, Digital, I²C, PWM)</t>
  </si>
  <si>
    <t>Digital, I²C up to 400 kHz; 7-bit address 0x68 (AD0=0) or 0x69 (AD0=1).</t>
  </si>
  <si>
    <t>Digital (TTL): TRIG (input, ≥10 μs high), ECHO (output, 5 V TTL pulse width). If your MCU is 3.3 V, put a divider/level shifter on ECHO.</t>
  </si>
  <si>
    <t>Analog voltage: (Vcc/512) per inch • Pulse width: 147 µs/inch • Serial: 0–Vcc “RS232-format” 9600 8N1. All three outputs update simultaneously.</t>
  </si>
  <si>
    <t>Analog voltage output (single-ended VO, 3-pin). Connector is JST PH, S3B-PH.</t>
  </si>
  <si>
    <t>Analog voltage output (Vo). Pinout: 1-Vo, 2-GND, 3-Vcc. Connector: JCTC 12001W90-3P-HF (3-pin).</t>
  </si>
  <si>
    <t>Digital (open-collector) output; requires a pull-up (datasheet example ~12 kΩ to Vcc). Output levels: VOH ≈ Vcc–0.3 V, VOL ≤ 0.6 V.</t>
  </si>
  <si>
    <t>I²C (up to 400 kHz) + Analog voltage output (VoutA).Default I²C address: 7-bit 0x40 (datasheet lists 0x80/0x81 as 8-bit W/R); address can be changed to 16 options via E-Fuse. VIN(IO)=1.8–3.3 V sets the logic level for SCL/SDA (separate from VDD).</t>
  </si>
  <si>
    <t>Weight (g), Dimensions (mm)</t>
  </si>
  <si>
    <t>Typical module size: about 20 × 15 mm; weight &lt;5 g (varies by vendor).</t>
  </si>
  <si>
    <t>≈ 8.7 g; 45.5 × 20 × 15.5 mm (module, excl. header)</t>
  </si>
  <si>
    <t>Weight ~4.3 g. PCB outline about 22.1 × 19.9 mm; mounting holes Ø3.1 mm; key dims shown in the mech table.</t>
  </si>
  <si>
    <t>Mass ≈ 4.8 g; body ~29.5 × 13.0 × 21.6 mm, overall width ~37 mm incl. mounting ears.</t>
  </si>
  <si>
    <t>Mass ≈ 3.6 g. Body ≈ 29.5 × 13.0 × 13.5 mm; overall width ≈ 37 mm (incl. ears).</t>
  </si>
  <si>
    <t>≈3.6 g; body about 29.5 × 13.0 × 13.5 mm (overall width ≈37 mm incl. mounting ears). Connector: JCTC 12001W90-3P-HF (3-pin).</t>
  </si>
  <si>
    <t>16.7 × 11.0 × 5.2 mm; (mass not specified in datasheet).</t>
  </si>
  <si>
    <t>Known limitations (e.g., IR issues on dark/absorbent surfaces)</t>
  </si>
  <si>
    <t>Many GY-521 boards do not include I²C level-shifting. The MPU-6050 I/O must not exceed VLOGIC (≤ VDD ≤ 3.46 V)—so if your controller uses 5 V I²C pull-ups, add a level shifter or power the pull-ups at 3.3 V.</t>
  </si>
  <si>
    <t>Needs a reasonably flat, ≥0.5 m² target area; rough/soft/angled or absorbent surfaces degrade readings. Avoid re-triggering faster than ~60 ms to prevent self-echo interference.</t>
  </si>
  <si>
    <t>Designed for protected indoor environments; for 100% reliability use ≥6 in distance. With multiple sonars, manage cross-talk (MaxBotix provides chaining methods).</t>
  </si>
  <si>
    <t>Readings depend on surface reflectivity/color; mirror/very dark/angled targets can misread. Direct sunlight/tungsten can hinder detection. Mount so motion is perpendicular to the emitter-detector line to reduce deviation. Add a 10 µF (or larger) bypass cap across Vcc–GND near the sensor to stabilize the pulsed load.</t>
  </si>
  <si>
    <t>Readings depend on surface reflectivity/color; direct sun/tungsten can cause errors; avoid mirror targets and large angles. Mount so motion is perpendicular to the emitter-detector line. Add a bypass capacitor ≥ 10 µF across Vcc–GND near the sensor to stabilize the pulsed load.</t>
  </si>
  <si>
    <t>Readings can be affected by direct sun/tungsten light, mirror/very dark or highly angled targets; keep optics clean. For stability, add a bypass capacitor ≥ 10 µF across Vcc–GND close to the sensor. Align so motion is roughly perpendicular to the emitter-detector line.</t>
  </si>
  <si>
    <t>Readings vary with surface reflectivity/angle; strong sun/tungsten light can disturb measurements—avoid direct light into the detector. If a front protection cover is used, follow the light-shield guidance to reduce reflections, or use the compensation function. For distances &lt;4 cm, digital output may report the max value (64 cm) when “error judgment” is enabled.</t>
  </si>
  <si>
    <t>Component Characteristics</t>
  </si>
  <si>
    <t>Column1</t>
  </si>
  <si>
    <t>Column2</t>
  </si>
  <si>
    <t>Column3</t>
  </si>
  <si>
    <t>Component</t>
  </si>
  <si>
    <t>quantity</t>
  </si>
  <si>
    <t>mass (kg)</t>
  </si>
  <si>
    <t>power draw (W)</t>
  </si>
  <si>
    <t xml:space="preserve">Ultrasonic Rangefinder -HC-SR04 </t>
  </si>
  <si>
    <t>Analog Infrared Rangefinder - GP2Y0A21YK0F</t>
  </si>
  <si>
    <t>Thrust fan - MEC0251V1-000U-A99</t>
  </si>
  <si>
    <t>Lift fan - AFB1212SH</t>
  </si>
  <si>
    <t>Controller Unit (Arduino nano)</t>
  </si>
  <si>
    <t>Servomotor (HS-311)</t>
  </si>
  <si>
    <t>Battery - Gens 450 (ACE25-0450-0201)</t>
  </si>
  <si>
    <t>Styrofoam+ cushion</t>
  </si>
  <si>
    <t>total</t>
  </si>
  <si>
    <t>Input</t>
  </si>
  <si>
    <t>Value</t>
  </si>
  <si>
    <t>Units</t>
  </si>
  <si>
    <t>Plate_length_m</t>
  </si>
  <si>
    <t>m</t>
  </si>
  <si>
    <t>Plate_width_m</t>
  </si>
  <si>
    <t>Mass_kg</t>
  </si>
  <si>
    <t>kg</t>
  </si>
  <si>
    <t>Gap_height_m</t>
  </si>
  <si>
    <t>Air_density_rho</t>
  </si>
  <si>
    <t>kg/m^3</t>
  </si>
  <si>
    <t>Gravity_g</t>
  </si>
  <si>
    <t>m/s^2</t>
  </si>
  <si>
    <t>Fan_rating_CFM</t>
  </si>
  <si>
    <t>CFM</t>
  </si>
  <si>
    <t>Quantity</t>
  </si>
  <si>
    <t>Planform area</t>
  </si>
  <si>
    <t>m²</t>
  </si>
  <si>
    <t>Mass</t>
  </si>
  <si>
    <t>Required pressure Δp</t>
  </si>
  <si>
    <t>Pa</t>
  </si>
  <si>
    <t>Gap area (perimeter × gap)</t>
  </si>
  <si>
    <t>Jet velocity in gap</t>
  </si>
  <si>
    <t>m/s</t>
  </si>
  <si>
    <t>Flow rate (Q)</t>
  </si>
  <si>
    <t>m³/s</t>
  </si>
  <si>
    <t>Fan rating (AFB1212SH)</t>
  </si>
  <si>
    <t>Item</t>
  </si>
  <si>
    <t>Total electrical power</t>
  </si>
  <si>
    <t>W</t>
  </si>
  <si>
    <t>Battery voltage per pack</t>
  </si>
  <si>
    <t>V</t>
  </si>
  <si>
    <t>Battery capacity per pack</t>
  </si>
  <si>
    <t>mAh</t>
  </si>
  <si>
    <t>Number of packs in series</t>
  </si>
  <si>
    <t>-</t>
  </si>
  <si>
    <t>Total pack voltage</t>
  </si>
  <si>
    <t>Total capacity of pack string</t>
  </si>
  <si>
    <t>Ah</t>
  </si>
  <si>
    <t>Battery energy (2× Gens 450, series)</t>
  </si>
  <si>
    <t>Wh</t>
  </si>
  <si>
    <t>Battery energy</t>
  </si>
  <si>
    <t>kJ</t>
  </si>
  <si>
    <t>Operating time (ideal)</t>
  </si>
  <si>
    <t>h</t>
  </si>
  <si>
    <t>min</t>
  </si>
  <si>
    <t>s</t>
  </si>
  <si>
    <t>Mass m</t>
  </si>
  <si>
    <t>Static friction coefficient μₛ</t>
  </si>
  <si>
    <t>–</t>
  </si>
  <si>
    <t>Kinetic friction coefficient μₖ</t>
  </si>
  <si>
    <t>Normal force on supports N</t>
  </si>
  <si>
    <t>N</t>
  </si>
  <si>
    <t>Max static friction (F_{s,max} = μₛ·N)</t>
  </si>
  <si>
    <t>Kinetic friction (F_k = μₖ·N)</t>
  </si>
  <si>
    <t>Thrust (F_thrust)</t>
  </si>
  <si>
    <t>Net driving force (moving) (F_thrust - F_k)</t>
  </si>
  <si>
    <t>Acceleration (a = F_net/m)</t>
  </si>
  <si>
    <t>m/s²</t>
  </si>
  <si>
    <t>Mass (g)</t>
  </si>
  <si>
    <t>x_cm</t>
  </si>
  <si>
    <t>y_cm</t>
  </si>
  <si>
    <t>z_cm</t>
  </si>
  <si>
    <t>m_x_gcm</t>
  </si>
  <si>
    <t>m_y_gcm</t>
  </si>
  <si>
    <t>m_z_gcm</t>
  </si>
  <si>
    <t>Battery left (front-left)</t>
  </si>
  <si>
    <t>Battery right (front-right)</t>
  </si>
  <si>
    <t>Controller (Nano + mount)</t>
  </si>
  <si>
    <t>IMU (GY-521 on controller)</t>
  </si>
  <si>
    <t>Lift fan (AFB1212SH, horizontal)</t>
  </si>
  <si>
    <t>Thrust fan (MEC0251V1, vertical)</t>
  </si>
  <si>
    <t>Servo (HS-311 under thrust fan)</t>
  </si>
  <si>
    <t>IR sensor (GP2Y0A21 on top of thrust fan)</t>
  </si>
  <si>
    <t>US sensor (HC-SR04 at bottom of thrust fan)</t>
  </si>
  <si>
    <t>Styrofoam base (35x26)</t>
  </si>
  <si>
    <t>TOTAL</t>
  </si>
  <si>
    <t>x_CM_cm</t>
  </si>
  <si>
    <t>y_CM_cm</t>
  </si>
  <si>
    <t>z_CM_cm</t>
  </si>
  <si>
    <t>Plate_length_L_cm</t>
  </si>
  <si>
    <t>Plate_width_W_cm</t>
  </si>
  <si>
    <t>x_CP_cm</t>
  </si>
  <si>
    <t>y_CP_cm</t>
  </si>
  <si>
    <t>Position (m)</t>
  </si>
  <si>
    <t>Centre of pressure (x, y)</t>
  </si>
  <si>
    <t>(0.175 , 0.160)</t>
  </si>
  <si>
    <t>Battery x-position</t>
  </si>
  <si>
    <t>Controller x-position</t>
  </si>
  <si>
    <t>Lift fan x-position</t>
  </si>
  <si>
    <t>Servo + thrust fan + IR + US x-position</t>
  </si>
  <si>
    <t>Conclusion</t>
  </si>
  <si>
    <t>centre of mass ≈ centre of pressure</t>
  </si>
  <si>
    <t>Criteria</t>
  </si>
  <si>
    <t>Weight_%</t>
  </si>
  <si>
    <t>D1_Val</t>
  </si>
  <si>
    <t>D1_WtVal</t>
  </si>
  <si>
    <t>D2_Val</t>
  </si>
  <si>
    <t>D2_WtVal</t>
  </si>
  <si>
    <t>D3_Val</t>
  </si>
  <si>
    <t>D3_WtVal</t>
  </si>
  <si>
    <t>Val1
(0 - 5)</t>
  </si>
  <si>
    <t>Wt × Val1</t>
  </si>
  <si>
    <t>Val2
(0 - 5)</t>
  </si>
  <si>
    <t>Wt × Val2</t>
  </si>
  <si>
    <t>Val3
(0 - 5)</t>
  </si>
  <si>
    <t>Wt × Val3</t>
  </si>
  <si>
    <t>Weight</t>
  </si>
  <si>
    <t>Number of Components</t>
  </si>
  <si>
    <t>Maneuverability</t>
  </si>
  <si>
    <t>Power Consumption</t>
  </si>
  <si>
    <t>Minimum Thrust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</si>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</sst>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b/>
      <sz val="11"/>
      <color rgb="FF000000"/>
      <name val="Aptos Narrow"/>
      <scheme val="minor"/>
    </font>
    <font>
      <b/>
      <sz val="12"/>
      <color rgb="FF000000"/>
      <name val="Roboto"/>
      <charset val="1"/>
    </font>
    <font>
      <b/>
      <sz val="12"/>
      <color rgb="FF000000"/>
      <name val="Roboto"/>
      <family val="2"/>
      <charset val="1"/>
    </font>
    <font>
      <sz val="12"/>
      <color rgb="FF000000"/>
      <name val="Roboto"/>
      <charset val="1"/>
    </font>
    <font>
      <sz val="11"/>
      <color rgb="FF000000"/>
      <name val="Roboto"/>
      <charset val="1"/>
    </font>
    <font>
      <sz val="11"/>
      <color rgb="FF000000"/>
      <name val="Work Sans"/>
      <charset val="1"/>
    </font>
    <font>
      <b/>
      <sz val="11"/>
      <color theme="1"/>
      <name val="Aptos"/>
      <family val="2"/>
      <charset val="1"/>
    </font>
    <font>
      <sz val="11"/>
      <color theme="1"/>
      <name val="Aptos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4">
    <xf numFmtId="0" fontId="0" fillId="0" borderId="0" xfId="0"/>
    <xf numFmtId="0" fontId="0" fillId="2" borderId="0" xfId="0" applyFill="1"/>
    <xf numFmtId="0" fontId="2" fillId="3" borderId="0" xfId="0" applyFont="1" applyFill="1"/>
    <xf numFmtId="0" fontId="4" fillId="4" borderId="0" xfId="0" applyFont="1" applyFill="1"/>
    <xf numFmtId="0" fontId="2" fillId="4" borderId="0" xfId="0" applyFont="1" applyFill="1"/>
    <xf numFmtId="0" fontId="0" fillId="5" borderId="0" xfId="0" applyFill="1"/>
    <xf numFmtId="0" fontId="3" fillId="5" borderId="0" xfId="1" applyFont="1" applyFill="1"/>
    <xf numFmtId="0" fontId="5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0" fillId="6" borderId="0" xfId="0" applyFill="1"/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" fillId="0" borderId="0" xfId="1" applyAlignment="1">
      <alignment wrapText="1"/>
    </xf>
    <xf numFmtId="0" fontId="0" fillId="0" borderId="0" xfId="0" applyAlignment="1">
      <alignment wrapText="1"/>
    </xf>
    <xf numFmtId="0" fontId="0" fillId="6" borderId="0" xfId="0" applyFill="1" applyAlignment="1">
      <alignment wrapText="1"/>
    </xf>
    <xf numFmtId="0" fontId="0" fillId="0" borderId="0" xfId="0" applyAlignment="1">
      <alignment horizontal="center"/>
    </xf>
    <xf numFmtId="0" fontId="0" fillId="2" borderId="0" xfId="0" applyFill="1" applyAlignment="1">
      <alignment wrapText="1"/>
    </xf>
    <xf numFmtId="0" fontId="2" fillId="0" borderId="0" xfId="0" applyFont="1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wrapText="1"/>
    </xf>
  </cellXfs>
  <cellStyles count="2">
    <cellStyle name="Hyperlink" xfId="1" builtinId="8"/>
    <cellStyle name="Normal" xfId="0" builtinId="0"/>
  </cellStyles>
  <dxfs count="4"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5A66DE-54A2-4721-9CF2-237CAE73DF1A}" name="Table1" displayName="Table1" ref="A113:H120" totalsRowShown="0" headerRowDxfId="3">
  <autoFilter ref="A113:H120" xr:uid="{FA5A66DE-54A2-4721-9CF2-237CAE73DF1A}"/>
  <tableColumns count="8">
    <tableColumn id="1" xr3:uid="{0C0785DE-FCB1-4354-8862-D374E0A78AB7}" name="Criteria"/>
    <tableColumn id="2" xr3:uid="{C4FEE976-CB9A-48CE-9513-C81668C2D22F}" name="Weight_%"/>
    <tableColumn id="3" xr3:uid="{85235C74-19F6-4086-9846-1311C21883A5}" name="D1_Val"/>
    <tableColumn id="4" xr3:uid="{E79396C6-B499-47F5-B1A5-35AEA901BAA9}" name="D1_WtVal"/>
    <tableColumn id="5" xr3:uid="{F0DF65AD-3C4D-445E-B7E4-1DB502E87F19}" name="D2_Val"/>
    <tableColumn id="6" xr3:uid="{A6A74988-C40C-4670-8914-6F3032FAF13E}" name="D2_WtVal"/>
    <tableColumn id="7" xr3:uid="{14D08520-C556-4C1C-BA26-0EAB8B1FB778}" name="D3_Val"/>
    <tableColumn id="8" xr3:uid="{1CF92CF2-3A0C-45AC-8523-344EA9115A76}" name="D3_WtV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7DAFE8-8FE7-42D6-A05C-526665FD7C30}" name="Table2" displayName="Table2" ref="A1:D12" totalsRowShown="0" headerRowDxfId="2">
  <autoFilter ref="A1:D12" xr:uid="{A97DAFE8-8FE7-42D6-A05C-526665FD7C30}"/>
  <tableColumns count="4">
    <tableColumn id="1" xr3:uid="{A81D6778-96F3-4E71-8CAB-5D7BF65FF1EA}" name="Component Characteristics"/>
    <tableColumn id="2" xr3:uid="{78E2389D-710D-4B2C-BA81-34FC7B2C649B}" name="Column1"/>
    <tableColumn id="3" xr3:uid="{A21DD3B8-56F5-4818-9976-755A113A82DF}" name="Column2"/>
    <tableColumn id="4" xr3:uid="{366A032A-0EDF-441A-8800-A6F332931631}" name="Column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B5E6FB-74B8-48E5-973B-F133DB54D073}" name="Table3" displayName="Table3" ref="A37:C48" totalsRowShown="0" headerRowDxfId="1">
  <autoFilter ref="A37:C48" xr:uid="{3FB5E6FB-74B8-48E5-973B-F133DB54D073}"/>
  <tableColumns count="3">
    <tableColumn id="1" xr3:uid="{060FB73A-4ACC-4FA6-8DFD-30650D79B4C0}" name="Item"/>
    <tableColumn id="2" xr3:uid="{851E0EDD-342B-4553-9115-9DE357C61B2B}" name="Value"/>
    <tableColumn id="3" xr3:uid="{991AAE3A-E5A1-4289-A548-BBBDB78E3A5F}" name="Unit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BCEC748-91F1-480B-A15F-AA71B520D318}" name="Table4" displayName="Table4" ref="A74:H89" totalsRowShown="0">
  <autoFilter ref="A74:H89" xr:uid="{ABCEC748-91F1-480B-A15F-AA71B520D318}"/>
  <tableColumns count="8">
    <tableColumn id="1" xr3:uid="{955BC621-C508-4495-B231-5A58B2A9C89C}" name="Component" dataDxfId="0"/>
    <tableColumn id="2" xr3:uid="{C78375AE-3188-4272-9BB8-684ABF66086E}" name="Mass (g)"/>
    <tableColumn id="3" xr3:uid="{0B3BBEBF-8E45-47D2-BCDC-0B78E6FBA50F}" name="x_cm"/>
    <tableColumn id="4" xr3:uid="{41555BDE-E677-4183-B172-49F243B386B5}" name="y_cm"/>
    <tableColumn id="5" xr3:uid="{CA1DE1C4-6C5C-4E5C-B28D-D840BCCF2DAD}" name="z_cm"/>
    <tableColumn id="6" xr3:uid="{ED8B21A0-54A0-4319-A497-6AF0D5DD69C8}" name="m_x_gcm"/>
    <tableColumn id="7" xr3:uid="{146029AC-7CB2-46BC-88D4-20BC8B3F089F}" name="m_y_gcm"/>
    <tableColumn id="8" xr3:uid="{1DEAF51C-A329-4F44-B67D-C974E896D9EE}" name="m_z_gc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A479688-0996-44F3-A207-242FC09FF52E}" name="Table5" displayName="Table5" ref="A18:C34" totalsRowShown="0">
  <autoFilter ref="A18:C34" xr:uid="{0A479688-0996-44F3-A207-242FC09FF52E}"/>
  <tableColumns count="3">
    <tableColumn id="1" xr3:uid="{C77C7FB7-8221-48E1-AAEC-9FDD100A9985}" name="Input"/>
    <tableColumn id="2" xr3:uid="{F66554DB-9277-4D84-A6F1-1DD958338C0D}" name="Value"/>
    <tableColumn id="3" xr3:uid="{AA9CC8BC-0AA8-4F98-A109-0EAEC8D9C194}" name="Unit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5080A6-6B21-4D5D-9F27-3699616E58DC}" name="Table6" displayName="Table6" ref="A95:B99" totalsRowShown="0">
  <autoFilter ref="A95:B99" xr:uid="{005080A6-6B21-4D5D-9F27-3699616E58DC}"/>
  <tableColumns count="2">
    <tableColumn id="1" xr3:uid="{DB139006-38C0-432E-AA67-9C082298DEC5}" name="Quantity"/>
    <tableColumn id="2" xr3:uid="{700A30F5-5FE0-49F0-80A4-22CFD0404CD5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user.com/datasheet/2/737/LV-MaxSonar-EZ_Datasheet-932733.pdf" TargetMode="External"/><Relationship Id="rId7" Type="http://schemas.openxmlformats.org/officeDocument/2006/relationships/hyperlink" Target="https://global.sharp/products/device/lineup/data/pdf/datasheet/gp2y0e03_e.pdf" TargetMode="External"/><Relationship Id="rId2" Type="http://schemas.openxmlformats.org/officeDocument/2006/relationships/hyperlink" Target="https://cdn.sparkfun.com/datasheets/Sensors/Proximity/HCSR04.pdf" TargetMode="External"/><Relationship Id="rId1" Type="http://schemas.openxmlformats.org/officeDocument/2006/relationships/hyperlink" Target="https://invensense.tdk.com/wp-content/uploads/2015/02/MPU-6000-Datasheet1.pdf" TargetMode="External"/><Relationship Id="rId6" Type="http://schemas.openxmlformats.org/officeDocument/2006/relationships/hyperlink" Target="https://global.sharp/products/device/lineup/data/pdf/datasheet/gp2y0d21yk_e.pdf" TargetMode="External"/><Relationship Id="rId5" Type="http://schemas.openxmlformats.org/officeDocument/2006/relationships/hyperlink" Target="https://global.sharp/products/device/lineup/data/pdf/datasheet/gp2y0a21yk_e.pdf" TargetMode="External"/><Relationship Id="rId4" Type="http://schemas.openxmlformats.org/officeDocument/2006/relationships/hyperlink" Target="https://global.sharp/products/device/lineup/data/pdf/datasheet/gp2y0a02yk_e.pdf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workbookViewId="0">
      <selection activeCell="E18" sqref="E18"/>
    </sheetView>
  </sheetViews>
  <sheetFormatPr defaultRowHeight="15"/>
  <cols>
    <col min="1" max="1" width="30.28515625" customWidth="1"/>
    <col min="2" max="6" width="23" customWidth="1"/>
  </cols>
  <sheetData>
    <row r="1" spans="1:7" ht="29.25">
      <c r="B1" s="1" t="s">
        <v>0</v>
      </c>
      <c r="C1" s="18" t="s">
        <v>1</v>
      </c>
      <c r="D1" s="16" t="s">
        <v>2</v>
      </c>
      <c r="E1" s="1" t="s">
        <v>3</v>
      </c>
      <c r="F1" s="1" t="s">
        <v>4</v>
      </c>
      <c r="G1" s="1"/>
    </row>
    <row r="2" spans="1:7" ht="18.75">
      <c r="A2" s="3" t="s">
        <v>5</v>
      </c>
      <c r="B2" s="7" t="s">
        <v>6</v>
      </c>
      <c r="C2" s="9" t="s">
        <v>7</v>
      </c>
      <c r="D2" s="10" t="s">
        <v>8</v>
      </c>
      <c r="E2" s="9" t="s">
        <v>9</v>
      </c>
      <c r="F2" s="7" t="s">
        <v>10</v>
      </c>
    </row>
    <row r="3" spans="1:7" ht="18.75">
      <c r="A3" s="4" t="s">
        <v>11</v>
      </c>
      <c r="B3" s="8" t="s">
        <v>12</v>
      </c>
      <c r="C3" s="9" t="s">
        <v>13</v>
      </c>
      <c r="D3" s="10" t="s">
        <v>14</v>
      </c>
      <c r="E3" s="9" t="s">
        <v>15</v>
      </c>
      <c r="F3" s="7" t="s">
        <v>16</v>
      </c>
    </row>
    <row r="4" spans="1:7" ht="18.75">
      <c r="A4" s="4" t="s">
        <v>17</v>
      </c>
      <c r="B4" s="7" t="s">
        <v>18</v>
      </c>
      <c r="C4" s="9" t="s">
        <v>19</v>
      </c>
      <c r="D4" s="10" t="s">
        <v>20</v>
      </c>
      <c r="E4" s="9" t="s">
        <v>21</v>
      </c>
      <c r="F4" t="s">
        <v>22</v>
      </c>
    </row>
    <row r="5" spans="1:7" ht="18.75">
      <c r="A5" s="4" t="s">
        <v>23</v>
      </c>
      <c r="B5" t="s">
        <v>24</v>
      </c>
      <c r="C5" t="s">
        <v>25</v>
      </c>
      <c r="D5" s="10" t="s">
        <v>26</v>
      </c>
      <c r="E5" s="9" t="s">
        <v>27</v>
      </c>
      <c r="F5" s="7" t="s">
        <v>28</v>
      </c>
    </row>
    <row r="6" spans="1:7" ht="15.75">
      <c r="A6" s="4" t="s">
        <v>29</v>
      </c>
      <c r="B6" s="8" t="s">
        <v>30</v>
      </c>
      <c r="C6" t="s">
        <v>31</v>
      </c>
      <c r="D6" t="s">
        <v>32</v>
      </c>
      <c r="E6" s="9" t="s">
        <v>33</v>
      </c>
      <c r="F6" t="s">
        <v>34</v>
      </c>
    </row>
    <row r="7" spans="1:7" ht="15.75">
      <c r="A7" s="4"/>
      <c r="B7" s="7"/>
    </row>
    <row r="8" spans="1:7">
      <c r="A8" s="4"/>
    </row>
    <row r="9" spans="1:7">
      <c r="A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F69C5-B9D3-4D65-B785-EB8A54A20DD5}">
  <dimension ref="A1:C44"/>
  <sheetViews>
    <sheetView topLeftCell="A31" workbookViewId="0">
      <selection activeCell="C37" sqref="C37"/>
    </sheetView>
  </sheetViews>
  <sheetFormatPr defaultRowHeight="15"/>
  <cols>
    <col min="1" max="1" width="32.7109375" customWidth="1"/>
    <col min="2" max="3" width="40.28515625" customWidth="1"/>
  </cols>
  <sheetData>
    <row r="1" spans="1:3" ht="29.25">
      <c r="B1" s="16" t="s">
        <v>35</v>
      </c>
      <c r="C1" s="11" t="s">
        <v>36</v>
      </c>
    </row>
    <row r="2" spans="1:3">
      <c r="A2" s="4" t="s">
        <v>37</v>
      </c>
    </row>
    <row r="3" spans="1:3">
      <c r="A3" s="4" t="s">
        <v>38</v>
      </c>
    </row>
    <row r="4" spans="1:3">
      <c r="A4" s="4" t="s">
        <v>39</v>
      </c>
    </row>
    <row r="5" spans="1:3">
      <c r="A5" s="4" t="s">
        <v>40</v>
      </c>
    </row>
    <row r="6" spans="1:3">
      <c r="A6" s="4" t="s">
        <v>41</v>
      </c>
    </row>
    <row r="7" spans="1:3">
      <c r="A7" s="4" t="s">
        <v>42</v>
      </c>
    </row>
    <row r="8" spans="1:3">
      <c r="A8" s="4" t="s">
        <v>43</v>
      </c>
    </row>
    <row r="9" spans="1:3">
      <c r="A9" s="4" t="s">
        <v>44</v>
      </c>
    </row>
    <row r="25" spans="1:3">
      <c r="A25" s="12"/>
      <c r="B25" s="14"/>
      <c r="C25" s="14"/>
    </row>
    <row r="33" spans="1:3">
      <c r="A33" s="13" t="s">
        <v>45</v>
      </c>
      <c r="B33" s="15"/>
      <c r="C33" s="15"/>
    </row>
    <row r="37" spans="1:3" ht="29.25">
      <c r="B37" s="16" t="s">
        <v>35</v>
      </c>
      <c r="C37" s="11" t="s">
        <v>36</v>
      </c>
    </row>
    <row r="38" spans="1:3" ht="29.25">
      <c r="A38" s="13" t="s">
        <v>37</v>
      </c>
      <c r="B38" s="13" t="s">
        <v>46</v>
      </c>
      <c r="C38" s="13" t="s">
        <v>47</v>
      </c>
    </row>
    <row r="39" spans="1:3">
      <c r="A39" s="13" t="s">
        <v>38</v>
      </c>
      <c r="B39" s="13" t="s">
        <v>48</v>
      </c>
      <c r="C39" s="13" t="s">
        <v>49</v>
      </c>
    </row>
    <row r="40" spans="1:3">
      <c r="A40" s="13" t="s">
        <v>39</v>
      </c>
      <c r="B40" s="13" t="s">
        <v>50</v>
      </c>
      <c r="C40" s="13" t="s">
        <v>51</v>
      </c>
    </row>
    <row r="41" spans="1:3">
      <c r="A41" s="13" t="s">
        <v>40</v>
      </c>
      <c r="B41" s="13" t="s">
        <v>52</v>
      </c>
      <c r="C41" s="13" t="s">
        <v>53</v>
      </c>
    </row>
    <row r="42" spans="1:3">
      <c r="A42" s="13" t="s">
        <v>41</v>
      </c>
      <c r="B42" s="13" t="s">
        <v>54</v>
      </c>
      <c r="C42" s="13" t="s">
        <v>55</v>
      </c>
    </row>
    <row r="43" spans="1:3">
      <c r="A43" s="13" t="s">
        <v>43</v>
      </c>
      <c r="B43" s="13" t="s">
        <v>56</v>
      </c>
      <c r="C43" s="13" t="s">
        <v>57</v>
      </c>
    </row>
    <row r="44" spans="1:3" ht="43.5">
      <c r="A44" s="13" t="s">
        <v>58</v>
      </c>
      <c r="B44" s="13" t="s">
        <v>59</v>
      </c>
      <c r="C44" s="13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738C8-BBFE-4CD5-93D7-952FADC84F62}">
  <dimension ref="A1:C8"/>
  <sheetViews>
    <sheetView workbookViewId="0">
      <selection activeCell="B6" sqref="B6"/>
    </sheetView>
  </sheetViews>
  <sheetFormatPr defaultRowHeight="15"/>
  <cols>
    <col min="1" max="1" width="46.5703125" customWidth="1"/>
    <col min="2" max="3" width="61.28515625" customWidth="1"/>
  </cols>
  <sheetData>
    <row r="1" spans="1:3">
      <c r="B1" s="1" t="s">
        <v>61</v>
      </c>
      <c r="C1" s="1" t="s">
        <v>62</v>
      </c>
    </row>
    <row r="2" spans="1:3">
      <c r="A2" s="4" t="s">
        <v>63</v>
      </c>
      <c r="B2" t="s">
        <v>64</v>
      </c>
      <c r="C2" t="s">
        <v>65</v>
      </c>
    </row>
    <row r="3" spans="1:3">
      <c r="A3" s="4" t="s">
        <v>66</v>
      </c>
      <c r="B3" t="s">
        <v>67</v>
      </c>
      <c r="C3" t="s">
        <v>68</v>
      </c>
    </row>
    <row r="4" spans="1:3">
      <c r="A4" s="4" t="s">
        <v>69</v>
      </c>
      <c r="B4" t="s">
        <v>70</v>
      </c>
      <c r="C4" t="s">
        <v>71</v>
      </c>
    </row>
    <row r="5" spans="1:3">
      <c r="A5" s="4" t="s">
        <v>72</v>
      </c>
      <c r="B5" t="s">
        <v>73</v>
      </c>
      <c r="C5" t="s">
        <v>74</v>
      </c>
    </row>
    <row r="6" spans="1:3">
      <c r="A6" s="4" t="s">
        <v>75</v>
      </c>
      <c r="B6" t="s">
        <v>76</v>
      </c>
      <c r="C6" t="s">
        <v>77</v>
      </c>
    </row>
    <row r="7" spans="1:3">
      <c r="A7" s="4" t="s">
        <v>78</v>
      </c>
      <c r="B7" t="s">
        <v>79</v>
      </c>
      <c r="C7" t="s">
        <v>80</v>
      </c>
    </row>
    <row r="8" spans="1:3">
      <c r="A8" s="4" t="s">
        <v>81</v>
      </c>
      <c r="B8" t="s">
        <v>82</v>
      </c>
      <c r="C8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DCFCE-201C-4FB8-B829-3C70CF8709E4}">
  <dimension ref="A1:I9"/>
  <sheetViews>
    <sheetView workbookViewId="0">
      <selection activeCell="F1" sqref="F1"/>
    </sheetView>
  </sheetViews>
  <sheetFormatPr defaultRowHeight="15"/>
  <cols>
    <col min="1" max="1" width="32.140625" customWidth="1"/>
    <col min="2" max="2" width="57.28515625" customWidth="1"/>
    <col min="3" max="3" width="58.7109375" customWidth="1"/>
    <col min="4" max="4" width="81.140625" customWidth="1"/>
    <col min="5" max="5" width="32.140625" customWidth="1"/>
    <col min="6" max="6" width="36.85546875" customWidth="1"/>
    <col min="7" max="7" width="37" customWidth="1"/>
    <col min="8" max="8" width="32.140625" customWidth="1"/>
  </cols>
  <sheetData>
    <row r="1" spans="1:9">
      <c r="A1" s="5"/>
      <c r="B1" s="6" t="s">
        <v>84</v>
      </c>
      <c r="C1" s="6" t="s">
        <v>85</v>
      </c>
      <c r="D1" s="6" t="s">
        <v>86</v>
      </c>
      <c r="E1" s="6" t="s">
        <v>87</v>
      </c>
      <c r="F1" s="6" t="s">
        <v>88</v>
      </c>
      <c r="G1" s="6" t="s">
        <v>89</v>
      </c>
      <c r="H1" s="6" t="s">
        <v>90</v>
      </c>
      <c r="I1" s="5"/>
    </row>
    <row r="2" spans="1:9" ht="43.5">
      <c r="A2" s="2" t="s">
        <v>91</v>
      </c>
      <c r="B2" s="15" t="s">
        <v>92</v>
      </c>
      <c r="C2" t="s">
        <v>93</v>
      </c>
      <c r="D2" t="s">
        <v>94</v>
      </c>
      <c r="E2" t="s">
        <v>95</v>
      </c>
      <c r="F2" t="s">
        <v>96</v>
      </c>
      <c r="G2" t="s">
        <v>97</v>
      </c>
      <c r="H2" t="s">
        <v>98</v>
      </c>
    </row>
    <row r="3" spans="1:9">
      <c r="A3" s="2" t="s">
        <v>99</v>
      </c>
      <c r="B3" t="s">
        <v>100</v>
      </c>
      <c r="C3" t="s">
        <v>101</v>
      </c>
      <c r="D3" t="s">
        <v>102</v>
      </c>
      <c r="E3" t="s">
        <v>103</v>
      </c>
      <c r="F3" t="s">
        <v>104</v>
      </c>
      <c r="G3" t="s">
        <v>105</v>
      </c>
      <c r="H3" t="s">
        <v>106</v>
      </c>
    </row>
    <row r="4" spans="1:9">
      <c r="A4" s="2" t="s">
        <v>107</v>
      </c>
      <c r="B4" t="s">
        <v>108</v>
      </c>
      <c r="C4" t="s">
        <v>109</v>
      </c>
      <c r="D4" t="s">
        <v>110</v>
      </c>
      <c r="E4" t="s">
        <v>111</v>
      </c>
      <c r="F4" t="s">
        <v>112</v>
      </c>
      <c r="G4" t="s">
        <v>113</v>
      </c>
      <c r="H4" t="s">
        <v>114</v>
      </c>
    </row>
    <row r="5" spans="1:9">
      <c r="A5" s="2" t="s">
        <v>115</v>
      </c>
      <c r="B5" t="s">
        <v>116</v>
      </c>
      <c r="C5" t="s">
        <v>117</v>
      </c>
      <c r="D5" t="s">
        <v>118</v>
      </c>
      <c r="E5" t="s">
        <v>119</v>
      </c>
      <c r="F5" t="s">
        <v>120</v>
      </c>
      <c r="G5" t="s">
        <v>121</v>
      </c>
      <c r="H5" t="s">
        <v>122</v>
      </c>
    </row>
    <row r="6" spans="1:9">
      <c r="A6" s="2" t="s">
        <v>123</v>
      </c>
      <c r="B6" t="s">
        <v>124</v>
      </c>
      <c r="C6" t="s">
        <v>125</v>
      </c>
      <c r="D6" t="s">
        <v>126</v>
      </c>
      <c r="E6" t="s">
        <v>124</v>
      </c>
      <c r="F6" t="s">
        <v>124</v>
      </c>
      <c r="G6" t="s">
        <v>127</v>
      </c>
      <c r="H6" t="s">
        <v>128</v>
      </c>
    </row>
    <row r="7" spans="1:9">
      <c r="A7" s="2" t="s">
        <v>129</v>
      </c>
      <c r="B7" t="s">
        <v>130</v>
      </c>
      <c r="C7" t="s">
        <v>131</v>
      </c>
      <c r="D7" t="s">
        <v>132</v>
      </c>
      <c r="E7" t="s">
        <v>133</v>
      </c>
      <c r="F7" t="s">
        <v>134</v>
      </c>
      <c r="G7" t="s">
        <v>135</v>
      </c>
      <c r="H7" t="s">
        <v>136</v>
      </c>
    </row>
    <row r="8" spans="1:9" ht="29.25">
      <c r="A8" s="2" t="s">
        <v>137</v>
      </c>
      <c r="B8" s="15" t="s">
        <v>138</v>
      </c>
      <c r="C8" t="s">
        <v>139</v>
      </c>
      <c r="D8" t="s">
        <v>140</v>
      </c>
      <c r="E8" t="s">
        <v>141</v>
      </c>
      <c r="F8" t="s">
        <v>142</v>
      </c>
      <c r="G8" t="s">
        <v>143</v>
      </c>
      <c r="H8" t="s">
        <v>144</v>
      </c>
    </row>
    <row r="9" spans="1:9">
      <c r="A9" s="2" t="s">
        <v>145</v>
      </c>
      <c r="B9" t="s">
        <v>146</v>
      </c>
      <c r="C9" t="s">
        <v>147</v>
      </c>
      <c r="D9" t="s">
        <v>148</v>
      </c>
      <c r="E9" t="s">
        <v>149</v>
      </c>
      <c r="F9" t="s">
        <v>150</v>
      </c>
      <c r="G9" t="s">
        <v>151</v>
      </c>
      <c r="H9" t="s">
        <v>152</v>
      </c>
    </row>
  </sheetData>
  <hyperlinks>
    <hyperlink ref="B1" r:id="rId1" xr:uid="{CD4B642B-CEA2-4BCA-8E33-CC51FEBAB81A}"/>
    <hyperlink ref="C1" r:id="rId2" xr:uid="{93133463-69CC-4771-9AF2-7A5F7D54AD87}"/>
    <hyperlink ref="D1" r:id="rId3" xr:uid="{DB6177A9-223A-4DAC-B0FB-D632389BCEBC}"/>
    <hyperlink ref="E1" r:id="rId4" xr:uid="{CFC8DA94-8034-404B-B2F8-C8A04099C137}"/>
    <hyperlink ref="F1" r:id="rId5" xr:uid="{37937A25-15FC-41D5-A911-F9D0B05EAAA5}"/>
    <hyperlink ref="G1" r:id="rId6" xr:uid="{DE4954B5-D4AC-4B0B-8D5C-9B4571336B0E}"/>
    <hyperlink ref="H1" r:id="rId7" xr:uid="{EF2AFB27-47AF-4EE7-B665-288393756D8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C0AC-18D8-4AC5-A075-C4CF09CD68C3}">
  <dimension ref="A1:H120"/>
  <sheetViews>
    <sheetView tabSelected="1" topLeftCell="A81" workbookViewId="0">
      <selection activeCell="A95" sqref="A95:B99"/>
    </sheetView>
  </sheetViews>
  <sheetFormatPr defaultRowHeight="15"/>
  <cols>
    <col min="1" max="1" width="38.28515625" customWidth="1"/>
    <col min="2" max="2" width="17" customWidth="1"/>
    <col min="3" max="3" width="11.28515625" customWidth="1"/>
    <col min="4" max="4" width="14.5703125" customWidth="1"/>
    <col min="5" max="5" width="9.28515625" customWidth="1"/>
    <col min="6" max="6" width="11.7109375" customWidth="1"/>
    <col min="7" max="7" width="11.28515625" customWidth="1"/>
    <col min="8" max="8" width="11.7109375" customWidth="1"/>
  </cols>
  <sheetData>
    <row r="1" spans="1:4">
      <c r="A1" s="17" t="s">
        <v>153</v>
      </c>
      <c r="B1" s="17" t="s">
        <v>154</v>
      </c>
      <c r="C1" s="17" t="s">
        <v>155</v>
      </c>
      <c r="D1" s="17" t="s">
        <v>156</v>
      </c>
    </row>
    <row r="2" spans="1:4">
      <c r="A2" s="17" t="s">
        <v>157</v>
      </c>
      <c r="B2" t="s">
        <v>158</v>
      </c>
      <c r="C2" s="15" t="s">
        <v>159</v>
      </c>
      <c r="D2" t="s">
        <v>160</v>
      </c>
    </row>
    <row r="3" spans="1:4">
      <c r="A3" s="15" t="s">
        <v>84</v>
      </c>
      <c r="B3">
        <v>1</v>
      </c>
      <c r="C3">
        <v>5.0000000000000001E-3</v>
      </c>
      <c r="D3">
        <v>1.2E-2</v>
      </c>
    </row>
    <row r="4" spans="1:4">
      <c r="A4" s="15" t="s">
        <v>161</v>
      </c>
      <c r="B4">
        <v>1</v>
      </c>
      <c r="C4">
        <v>1E-3</v>
      </c>
      <c r="D4">
        <v>7.4999999999999997E-2</v>
      </c>
    </row>
    <row r="5" spans="1:4">
      <c r="A5" t="s">
        <v>162</v>
      </c>
      <c r="B5">
        <v>1</v>
      </c>
      <c r="C5">
        <v>1E-3</v>
      </c>
      <c r="D5">
        <v>0.15</v>
      </c>
    </row>
    <row r="6" spans="1:4">
      <c r="A6" s="15" t="s">
        <v>163</v>
      </c>
      <c r="B6">
        <v>1</v>
      </c>
      <c r="C6">
        <v>0.16200000000000001</v>
      </c>
      <c r="D6">
        <v>5.46</v>
      </c>
    </row>
    <row r="7" spans="1:4">
      <c r="A7" t="s">
        <v>164</v>
      </c>
      <c r="B7">
        <v>1</v>
      </c>
      <c r="C7">
        <v>0.19800000000000001</v>
      </c>
      <c r="D7">
        <v>6.36</v>
      </c>
    </row>
    <row r="8" spans="1:4">
      <c r="A8" t="s">
        <v>165</v>
      </c>
      <c r="B8">
        <v>1</v>
      </c>
      <c r="C8">
        <v>0.159</v>
      </c>
      <c r="D8">
        <v>0.1</v>
      </c>
    </row>
    <row r="9" spans="1:4">
      <c r="A9" t="s">
        <v>166</v>
      </c>
      <c r="B9">
        <v>1</v>
      </c>
      <c r="C9">
        <v>4.2999999999999997E-2</v>
      </c>
      <c r="D9">
        <v>0.9</v>
      </c>
    </row>
    <row r="10" spans="1:4">
      <c r="A10" t="s">
        <v>167</v>
      </c>
      <c r="B10">
        <v>2</v>
      </c>
      <c r="C10">
        <v>2.8000000000000001E-2</v>
      </c>
      <c r="D10">
        <v>0</v>
      </c>
    </row>
    <row r="11" spans="1:4">
      <c r="A11" t="s">
        <v>168</v>
      </c>
      <c r="B11">
        <v>1</v>
      </c>
      <c r="C11">
        <v>4.4999999999999998E-2</v>
      </c>
      <c r="D11">
        <v>0</v>
      </c>
    </row>
    <row r="12" spans="1:4">
      <c r="A12" t="s">
        <v>169</v>
      </c>
      <c r="B12">
        <f>SUM(B3:B11)</f>
        <v>10</v>
      </c>
      <c r="C12">
        <f>SUMPRODUCT(B3:B11,C3:C11)</f>
        <v>0.67000000000000015</v>
      </c>
      <c r="D12">
        <f>SUM(D3:D11)</f>
        <v>13.057</v>
      </c>
    </row>
    <row r="18" spans="1:4">
      <c r="A18" t="s">
        <v>170</v>
      </c>
      <c r="B18" t="s">
        <v>171</v>
      </c>
      <c r="C18" t="s">
        <v>172</v>
      </c>
      <c r="D18" s="22"/>
    </row>
    <row r="19" spans="1:4">
      <c r="A19" t="s">
        <v>173</v>
      </c>
      <c r="B19">
        <v>0.35</v>
      </c>
      <c r="C19" t="s">
        <v>174</v>
      </c>
      <c r="D19" s="20"/>
    </row>
    <row r="20" spans="1:4">
      <c r="A20" t="s">
        <v>175</v>
      </c>
      <c r="B20">
        <v>0.26</v>
      </c>
      <c r="C20" t="s">
        <v>174</v>
      </c>
      <c r="D20" s="20"/>
    </row>
    <row r="21" spans="1:4">
      <c r="A21" t="s">
        <v>176</v>
      </c>
      <c r="B21">
        <f>C12</f>
        <v>0.67000000000000015</v>
      </c>
      <c r="C21" t="s">
        <v>177</v>
      </c>
      <c r="D21" s="20"/>
    </row>
    <row r="22" spans="1:4">
      <c r="A22" t="s">
        <v>178</v>
      </c>
      <c r="B22">
        <v>4.0000000000000001E-3</v>
      </c>
      <c r="C22" t="s">
        <v>174</v>
      </c>
      <c r="D22" s="20"/>
    </row>
    <row r="23" spans="1:4">
      <c r="A23" t="s">
        <v>179</v>
      </c>
      <c r="B23">
        <v>1.18</v>
      </c>
      <c r="C23" t="s">
        <v>180</v>
      </c>
      <c r="D23" s="20"/>
    </row>
    <row r="24" spans="1:4">
      <c r="A24" t="s">
        <v>181</v>
      </c>
      <c r="B24">
        <v>9.81</v>
      </c>
      <c r="C24" t="s">
        <v>182</v>
      </c>
      <c r="D24" s="20"/>
    </row>
    <row r="25" spans="1:4">
      <c r="A25" t="s">
        <v>183</v>
      </c>
      <c r="B25">
        <v>113.11</v>
      </c>
      <c r="C25" t="s">
        <v>184</v>
      </c>
      <c r="D25" s="20"/>
    </row>
    <row r="26" spans="1:4">
      <c r="A26" t="s">
        <v>185</v>
      </c>
      <c r="B26" t="s">
        <v>171</v>
      </c>
      <c r="C26" t="s">
        <v>172</v>
      </c>
      <c r="D26" s="20"/>
    </row>
    <row r="27" spans="1:4">
      <c r="A27" t="s">
        <v>186</v>
      </c>
      <c r="B27">
        <f>B19*B20</f>
        <v>9.0999999999999998E-2</v>
      </c>
      <c r="C27" t="s">
        <v>187</v>
      </c>
    </row>
    <row r="28" spans="1:4">
      <c r="A28" t="s">
        <v>188</v>
      </c>
      <c r="B28">
        <f>B21</f>
        <v>0.67000000000000015</v>
      </c>
      <c r="C28" t="s">
        <v>177</v>
      </c>
    </row>
    <row r="29" spans="1:4">
      <c r="A29" t="s">
        <v>189</v>
      </c>
      <c r="B29">
        <f>$B$4*$B$7/B27</f>
        <v>10.989010989010989</v>
      </c>
      <c r="C29" t="s">
        <v>190</v>
      </c>
    </row>
    <row r="30" spans="1:4">
      <c r="A30" t="s">
        <v>191</v>
      </c>
      <c r="B30">
        <f>2*(B19+B20)*$B$5</f>
        <v>1.22</v>
      </c>
      <c r="C30" t="s">
        <v>187</v>
      </c>
    </row>
    <row r="31" spans="1:4">
      <c r="A31" t="s">
        <v>192</v>
      </c>
      <c r="B31">
        <f>SQRT(2*B29/$B$6)</f>
        <v>4.6880723093849541</v>
      </c>
      <c r="C31" t="s">
        <v>193</v>
      </c>
    </row>
    <row r="32" spans="1:4">
      <c r="A32" t="s">
        <v>194</v>
      </c>
      <c r="B32">
        <f>B30*B31</f>
        <v>5.7194482174496439</v>
      </c>
      <c r="C32" t="s">
        <v>195</v>
      </c>
    </row>
    <row r="33" spans="1:3">
      <c r="A33" t="s">
        <v>196</v>
      </c>
      <c r="B33">
        <f>$B$8*0.000471947</f>
        <v>4.7194700000000001E-4</v>
      </c>
      <c r="C33" t="s">
        <v>195</v>
      </c>
    </row>
    <row r="36" spans="1:3">
      <c r="A36" s="19"/>
      <c r="B36" s="19"/>
      <c r="C36" s="19"/>
    </row>
    <row r="37" spans="1:3">
      <c r="A37" s="22" t="s">
        <v>197</v>
      </c>
      <c r="B37" s="22" t="s">
        <v>171</v>
      </c>
      <c r="C37" s="22" t="s">
        <v>172</v>
      </c>
    </row>
    <row r="38" spans="1:3">
      <c r="A38" t="s">
        <v>198</v>
      </c>
      <c r="B38">
        <v>13.057</v>
      </c>
      <c r="C38" t="s">
        <v>199</v>
      </c>
    </row>
    <row r="39" spans="1:3">
      <c r="A39" t="s">
        <v>200</v>
      </c>
      <c r="B39">
        <v>7.4</v>
      </c>
      <c r="C39" t="s">
        <v>201</v>
      </c>
    </row>
    <row r="40" spans="1:3">
      <c r="A40" t="s">
        <v>202</v>
      </c>
      <c r="B40">
        <v>450</v>
      </c>
      <c r="C40" t="s">
        <v>203</v>
      </c>
    </row>
    <row r="41" spans="1:3">
      <c r="A41" t="s">
        <v>204</v>
      </c>
      <c r="B41">
        <v>2</v>
      </c>
      <c r="C41" t="s">
        <v>205</v>
      </c>
    </row>
    <row r="42" spans="1:3">
      <c r="A42" t="s">
        <v>206</v>
      </c>
      <c r="B42">
        <f>B39*B41</f>
        <v>14.8</v>
      </c>
      <c r="C42" t="s">
        <v>201</v>
      </c>
    </row>
    <row r="43" spans="1:3">
      <c r="A43" t="s">
        <v>207</v>
      </c>
      <c r="B43">
        <f>B40/1000</f>
        <v>0.45</v>
      </c>
      <c r="C43" t="s">
        <v>208</v>
      </c>
    </row>
    <row r="44" spans="1:3">
      <c r="A44" t="s">
        <v>209</v>
      </c>
      <c r="B44">
        <f>B42*B43</f>
        <v>6.66</v>
      </c>
      <c r="C44" t="s">
        <v>210</v>
      </c>
    </row>
    <row r="45" spans="1:3">
      <c r="A45" t="s">
        <v>211</v>
      </c>
      <c r="B45">
        <f>B44*3600/1000</f>
        <v>23.975999999999999</v>
      </c>
      <c r="C45" t="s">
        <v>212</v>
      </c>
    </row>
    <row r="46" spans="1:3">
      <c r="A46" t="s">
        <v>213</v>
      </c>
      <c r="B46">
        <f>B44/B38</f>
        <v>0.51007122616221179</v>
      </c>
      <c r="C46" t="s">
        <v>214</v>
      </c>
    </row>
    <row r="47" spans="1:3">
      <c r="A47" t="s">
        <v>213</v>
      </c>
      <c r="B47">
        <f>B46*60</f>
        <v>30.604273569732708</v>
      </c>
      <c r="C47" t="s">
        <v>215</v>
      </c>
    </row>
    <row r="48" spans="1:3">
      <c r="A48" t="s">
        <v>213</v>
      </c>
      <c r="B48">
        <f>B46*3600</f>
        <v>1836.2564141839625</v>
      </c>
      <c r="C48" t="s">
        <v>216</v>
      </c>
    </row>
    <row r="53" spans="1:3">
      <c r="A53" t="s">
        <v>185</v>
      </c>
      <c r="B53" t="s">
        <v>171</v>
      </c>
      <c r="C53" t="s">
        <v>172</v>
      </c>
    </row>
    <row r="54" spans="1:3">
      <c r="A54" t="s">
        <v>217</v>
      </c>
      <c r="B54">
        <v>0.68500000000000005</v>
      </c>
      <c r="C54" t="s">
        <v>177</v>
      </c>
    </row>
    <row r="55" spans="1:3">
      <c r="A55" t="s">
        <v>218</v>
      </c>
      <c r="B55">
        <v>0.3</v>
      </c>
      <c r="C55" t="s">
        <v>219</v>
      </c>
    </row>
    <row r="56" spans="1:3">
      <c r="A56" t="s">
        <v>220</v>
      </c>
      <c r="B56">
        <v>0.2</v>
      </c>
      <c r="C56" t="s">
        <v>219</v>
      </c>
    </row>
    <row r="57" spans="1:3">
      <c r="A57" t="s">
        <v>221</v>
      </c>
      <c r="B57">
        <v>0.68300000000000005</v>
      </c>
      <c r="C57" t="s">
        <v>222</v>
      </c>
    </row>
    <row r="58" spans="1:3">
      <c r="A58" t="s">
        <v>223</v>
      </c>
      <c r="B58">
        <f>B55*B57</f>
        <v>0.2049</v>
      </c>
      <c r="C58" t="s">
        <v>222</v>
      </c>
    </row>
    <row r="59" spans="1:3">
      <c r="A59" t="s">
        <v>224</v>
      </c>
      <c r="B59">
        <f>B56*B57</f>
        <v>0.13660000000000003</v>
      </c>
      <c r="C59" t="s">
        <v>222</v>
      </c>
    </row>
    <row r="60" spans="1:3">
      <c r="A60" t="s">
        <v>225</v>
      </c>
      <c r="B60">
        <v>0.60299999999999998</v>
      </c>
      <c r="C60" t="s">
        <v>222</v>
      </c>
    </row>
    <row r="61" spans="1:3">
      <c r="A61" t="s">
        <v>226</v>
      </c>
      <c r="B61">
        <f>B60-B59</f>
        <v>0.46639999999999993</v>
      </c>
      <c r="C61" t="s">
        <v>222</v>
      </c>
    </row>
    <row r="62" spans="1:3">
      <c r="A62" t="s">
        <v>227</v>
      </c>
      <c r="B62">
        <f>B61/B54</f>
        <v>0.680875912408759</v>
      </c>
      <c r="C62" t="s">
        <v>228</v>
      </c>
    </row>
    <row r="63" spans="1:3">
      <c r="B63" s="20"/>
    </row>
    <row r="64" spans="1:3">
      <c r="B64" s="20"/>
    </row>
    <row r="65" spans="1:8">
      <c r="A65" s="19"/>
      <c r="B65" s="21"/>
    </row>
    <row r="66" spans="1:8">
      <c r="B66" s="20"/>
    </row>
    <row r="67" spans="1:8">
      <c r="B67" s="20"/>
    </row>
    <row r="68" spans="1:8">
      <c r="B68" s="20"/>
    </row>
    <row r="69" spans="1:8">
      <c r="B69" s="20"/>
    </row>
    <row r="70" spans="1:8">
      <c r="B70" s="20"/>
    </row>
    <row r="73" spans="1:8">
      <c r="A73" s="19"/>
      <c r="B73" s="19"/>
      <c r="C73" s="19"/>
      <c r="D73" s="19"/>
      <c r="E73" s="19"/>
      <c r="F73" s="19"/>
    </row>
    <row r="74" spans="1:8">
      <c r="A74" s="15" t="s">
        <v>157</v>
      </c>
      <c r="B74" t="s">
        <v>229</v>
      </c>
      <c r="C74" t="s">
        <v>230</v>
      </c>
      <c r="D74" t="s">
        <v>231</v>
      </c>
      <c r="E74" t="s">
        <v>232</v>
      </c>
      <c r="F74" t="s">
        <v>233</v>
      </c>
      <c r="G74" t="s">
        <v>234</v>
      </c>
      <c r="H74" t="s">
        <v>235</v>
      </c>
    </row>
    <row r="75" spans="1:8">
      <c r="A75" s="15" t="s">
        <v>236</v>
      </c>
      <c r="B75">
        <v>28</v>
      </c>
      <c r="C75">
        <v>5.35</v>
      </c>
      <c r="D75">
        <v>7.6</v>
      </c>
      <c r="E75">
        <v>0.5</v>
      </c>
      <c r="F75">
        <f>B75*C75</f>
        <v>149.79999999999998</v>
      </c>
      <c r="G75">
        <f>B75*D75</f>
        <v>212.79999999999998</v>
      </c>
      <c r="H75">
        <f>B75*E75</f>
        <v>14</v>
      </c>
    </row>
    <row r="76" spans="1:8">
      <c r="A76" s="15" t="s">
        <v>237</v>
      </c>
      <c r="B76">
        <v>28</v>
      </c>
      <c r="C76">
        <v>5.35</v>
      </c>
      <c r="D76">
        <v>18.399999999999999</v>
      </c>
      <c r="E76">
        <v>0.5</v>
      </c>
      <c r="F76">
        <f>B76*C76</f>
        <v>149.79999999999998</v>
      </c>
      <c r="G76">
        <f>B76*D76</f>
        <v>515.19999999999993</v>
      </c>
      <c r="H76">
        <f>B76*E76</f>
        <v>14</v>
      </c>
    </row>
    <row r="77" spans="1:8">
      <c r="A77" s="15" t="s">
        <v>238</v>
      </c>
      <c r="B77">
        <v>159</v>
      </c>
      <c r="C77">
        <v>5.35</v>
      </c>
      <c r="D77">
        <v>13</v>
      </c>
      <c r="E77">
        <v>0.5</v>
      </c>
      <c r="F77">
        <f>B77*C77</f>
        <v>850.65</v>
      </c>
      <c r="G77">
        <f>B77*D77</f>
        <v>2067</v>
      </c>
      <c r="H77">
        <f>B77*E77</f>
        <v>79.5</v>
      </c>
    </row>
    <row r="78" spans="1:8">
      <c r="A78" s="15" t="s">
        <v>239</v>
      </c>
      <c r="B78">
        <v>5</v>
      </c>
      <c r="C78">
        <v>5.35</v>
      </c>
      <c r="D78">
        <v>13</v>
      </c>
      <c r="E78">
        <v>1</v>
      </c>
      <c r="F78">
        <f>B78*C78</f>
        <v>26.75</v>
      </c>
      <c r="G78">
        <f>B78*D78</f>
        <v>65</v>
      </c>
      <c r="H78">
        <f>B78*E78</f>
        <v>5</v>
      </c>
    </row>
    <row r="79" spans="1:8">
      <c r="A79" s="15" t="s">
        <v>240</v>
      </c>
      <c r="B79">
        <v>198</v>
      </c>
      <c r="C79">
        <v>17.5</v>
      </c>
      <c r="D79">
        <v>13</v>
      </c>
      <c r="E79">
        <v>1.25</v>
      </c>
      <c r="F79">
        <f>B79*C79</f>
        <v>3465</v>
      </c>
      <c r="G79">
        <f>B79*D79</f>
        <v>2574</v>
      </c>
      <c r="H79">
        <f>B79*E79</f>
        <v>247.5</v>
      </c>
    </row>
    <row r="80" spans="1:8">
      <c r="A80" s="15" t="s">
        <v>241</v>
      </c>
      <c r="B80">
        <v>162</v>
      </c>
      <c r="C80">
        <v>29.32</v>
      </c>
      <c r="D80">
        <v>13</v>
      </c>
      <c r="E80">
        <v>7.8</v>
      </c>
      <c r="F80">
        <f>B80*C80</f>
        <v>4749.84</v>
      </c>
      <c r="G80">
        <f>B80*D80</f>
        <v>2106</v>
      </c>
      <c r="H80">
        <f>B80*E80</f>
        <v>1263.5999999999999</v>
      </c>
    </row>
    <row r="81" spans="1:8">
      <c r="A81" s="15" t="s">
        <v>242</v>
      </c>
      <c r="B81">
        <v>43</v>
      </c>
      <c r="C81">
        <v>29.32</v>
      </c>
      <c r="D81">
        <v>13</v>
      </c>
      <c r="E81">
        <v>1.8</v>
      </c>
      <c r="F81">
        <f>B81*C81</f>
        <v>1260.76</v>
      </c>
      <c r="G81">
        <f>B81*D81</f>
        <v>559</v>
      </c>
      <c r="H81">
        <f>B81*E81</f>
        <v>77.400000000000006</v>
      </c>
    </row>
    <row r="82" spans="1:8">
      <c r="A82" s="15" t="s">
        <v>243</v>
      </c>
      <c r="B82">
        <v>1</v>
      </c>
      <c r="C82">
        <v>29.32</v>
      </c>
      <c r="D82">
        <v>13</v>
      </c>
      <c r="E82">
        <v>12.5</v>
      </c>
      <c r="F82">
        <f>B82*C82</f>
        <v>29.32</v>
      </c>
      <c r="G82">
        <f>B82*D82</f>
        <v>13</v>
      </c>
      <c r="H82">
        <f>B82*E82</f>
        <v>12.5</v>
      </c>
    </row>
    <row r="83" spans="1:8">
      <c r="A83" s="15" t="s">
        <v>244</v>
      </c>
      <c r="B83">
        <v>1</v>
      </c>
      <c r="C83">
        <v>29.32</v>
      </c>
      <c r="D83">
        <v>13</v>
      </c>
      <c r="E83">
        <v>0.75</v>
      </c>
      <c r="F83">
        <f>B83*C83</f>
        <v>29.32</v>
      </c>
      <c r="G83">
        <f>B83*D83</f>
        <v>13</v>
      </c>
      <c r="H83">
        <f>B83*E83</f>
        <v>0.75</v>
      </c>
    </row>
    <row r="84" spans="1:8">
      <c r="A84" s="15" t="s">
        <v>245</v>
      </c>
      <c r="B84">
        <v>41</v>
      </c>
      <c r="C84">
        <v>17.5</v>
      </c>
      <c r="D84">
        <v>13</v>
      </c>
      <c r="E84">
        <v>1</v>
      </c>
      <c r="F84">
        <f>B84*C84</f>
        <v>717.5</v>
      </c>
      <c r="G84">
        <f>B84*D84</f>
        <v>533</v>
      </c>
      <c r="H84">
        <f>B84*E84</f>
        <v>41</v>
      </c>
    </row>
    <row r="85" spans="1:8">
      <c r="A85" s="15" t="s">
        <v>246</v>
      </c>
      <c r="B85">
        <f>SUM(B75:B84)</f>
        <v>666</v>
      </c>
      <c r="F85">
        <f>SUM(F75:F84)</f>
        <v>11428.74</v>
      </c>
      <c r="G85">
        <f>SUM(G75:G84)</f>
        <v>8658</v>
      </c>
      <c r="H85">
        <f>SUM(H75:H84)</f>
        <v>1755.25</v>
      </c>
    </row>
    <row r="86" spans="1:8">
      <c r="A86" s="15"/>
    </row>
    <row r="87" spans="1:8">
      <c r="A87" s="15" t="s">
        <v>247</v>
      </c>
      <c r="B87">
        <f>F85/B85</f>
        <v>17.160270270270271</v>
      </c>
    </row>
    <row r="88" spans="1:8">
      <c r="A88" s="15" t="s">
        <v>248</v>
      </c>
      <c r="B88">
        <f>G85/B85</f>
        <v>13</v>
      </c>
    </row>
    <row r="89" spans="1:8">
      <c r="A89" s="15" t="s">
        <v>249</v>
      </c>
      <c r="B89">
        <f>H85/B85</f>
        <v>2.6355105105105103</v>
      </c>
    </row>
    <row r="95" spans="1:8">
      <c r="A95" t="s">
        <v>185</v>
      </c>
      <c r="B95" t="s">
        <v>171</v>
      </c>
    </row>
    <row r="96" spans="1:8">
      <c r="A96" t="s">
        <v>250</v>
      </c>
      <c r="B96">
        <v>35</v>
      </c>
    </row>
    <row r="97" spans="1:2">
      <c r="A97" t="s">
        <v>251</v>
      </c>
      <c r="B97">
        <v>26</v>
      </c>
    </row>
    <row r="98" spans="1:2">
      <c r="A98" t="s">
        <v>252</v>
      </c>
      <c r="B98">
        <f>B96/2</f>
        <v>17.5</v>
      </c>
    </row>
    <row r="99" spans="1:2">
      <c r="A99" t="s">
        <v>253</v>
      </c>
      <c r="B99">
        <f>B97/2</f>
        <v>13</v>
      </c>
    </row>
    <row r="102" spans="1:2">
      <c r="A102" s="19" t="s">
        <v>197</v>
      </c>
      <c r="B102" s="21" t="s">
        <v>254</v>
      </c>
    </row>
    <row r="103" spans="1:2">
      <c r="A103" t="s">
        <v>255</v>
      </c>
      <c r="B103" s="20" t="s">
        <v>256</v>
      </c>
    </row>
    <row r="104" spans="1:2">
      <c r="A104" t="s">
        <v>257</v>
      </c>
      <c r="B104" s="20">
        <v>5.3499999999999999E-2</v>
      </c>
    </row>
    <row r="105" spans="1:2">
      <c r="A105" t="s">
        <v>258</v>
      </c>
      <c r="B105" s="20">
        <v>5.3499999999999999E-2</v>
      </c>
    </row>
    <row r="106" spans="1:2">
      <c r="A106" t="s">
        <v>259</v>
      </c>
      <c r="B106" s="20">
        <v>0.17499999999999999</v>
      </c>
    </row>
    <row r="107" spans="1:2">
      <c r="A107" t="s">
        <v>260</v>
      </c>
      <c r="B107" s="20">
        <v>0.29299999999999998</v>
      </c>
    </row>
    <row r="108" spans="1:2">
      <c r="A108" t="s">
        <v>261</v>
      </c>
      <c r="B108" t="s">
        <v>262</v>
      </c>
    </row>
    <row r="113" spans="1:8">
      <c r="A113" s="17" t="s">
        <v>263</v>
      </c>
      <c r="B113" s="17" t="s">
        <v>264</v>
      </c>
      <c r="C113" s="17" t="s">
        <v>265</v>
      </c>
      <c r="D113" s="17" t="s">
        <v>266</v>
      </c>
      <c r="E113" s="17" t="s">
        <v>267</v>
      </c>
      <c r="F113" s="17" t="s">
        <v>268</v>
      </c>
      <c r="G113" s="17" t="s">
        <v>269</v>
      </c>
      <c r="H113" s="17" t="s">
        <v>270</v>
      </c>
    </row>
    <row r="114" spans="1:8" ht="29.25">
      <c r="A114" s="17"/>
      <c r="B114" s="17"/>
      <c r="C114" s="23" t="s">
        <v>271</v>
      </c>
      <c r="D114" s="17" t="s">
        <v>272</v>
      </c>
      <c r="E114" s="23" t="s">
        <v>273</v>
      </c>
      <c r="F114" s="17" t="s">
        <v>274</v>
      </c>
      <c r="G114" s="23" t="s">
        <v>275</v>
      </c>
      <c r="H114" s="17" t="s">
        <v>276</v>
      </c>
    </row>
    <row r="115" spans="1:8">
      <c r="A115" t="s">
        <v>277</v>
      </c>
      <c r="B115">
        <v>20</v>
      </c>
      <c r="C115">
        <v>5</v>
      </c>
      <c r="D115">
        <f>($B115/100)*C115</f>
        <v>1</v>
      </c>
      <c r="E115">
        <v>2.5</v>
      </c>
      <c r="F115">
        <f>($B115/100)*E115</f>
        <v>0.5</v>
      </c>
      <c r="G115">
        <v>4</v>
      </c>
      <c r="H115">
        <f>($B115/100)*G115</f>
        <v>0.8</v>
      </c>
    </row>
    <row r="116" spans="1:8">
      <c r="A116" t="s">
        <v>278</v>
      </c>
      <c r="B116">
        <v>30</v>
      </c>
      <c r="C116">
        <v>5</v>
      </c>
      <c r="D116">
        <f>($B116/100)*C116</f>
        <v>1.5</v>
      </c>
      <c r="E116">
        <v>3.5</v>
      </c>
      <c r="F116">
        <f>($B116/100)*E116</f>
        <v>1.05</v>
      </c>
      <c r="G116">
        <v>2</v>
      </c>
      <c r="H116">
        <f>($B116/100)*G116</f>
        <v>0.6</v>
      </c>
    </row>
    <row r="117" spans="1:8">
      <c r="A117" t="s">
        <v>279</v>
      </c>
      <c r="B117">
        <v>25</v>
      </c>
      <c r="C117">
        <v>4</v>
      </c>
      <c r="D117">
        <f>($B117/100)*C117</f>
        <v>1</v>
      </c>
      <c r="E117">
        <v>3</v>
      </c>
      <c r="F117">
        <f>($B117/100)*E117</f>
        <v>0.75</v>
      </c>
      <c r="G117">
        <v>5</v>
      </c>
      <c r="H117">
        <f>($B117/100)*G117</f>
        <v>1.25</v>
      </c>
    </row>
    <row r="118" spans="1:8">
      <c r="A118" t="s">
        <v>280</v>
      </c>
      <c r="B118">
        <v>10</v>
      </c>
      <c r="C118">
        <v>3</v>
      </c>
      <c r="D118">
        <f>($B118/100)*C118</f>
        <v>0.30000000000000004</v>
      </c>
      <c r="E118">
        <v>2</v>
      </c>
      <c r="F118">
        <f>($B118/100)*E118</f>
        <v>0.2</v>
      </c>
      <c r="G118">
        <v>3.5</v>
      </c>
      <c r="H118">
        <f>($B118/100)*G118</f>
        <v>0.35000000000000003</v>
      </c>
    </row>
    <row r="119" spans="1:8">
      <c r="A119" t="s">
        <v>281</v>
      </c>
      <c r="B119">
        <v>15</v>
      </c>
      <c r="C119">
        <v>4</v>
      </c>
      <c r="D119">
        <f>($B119/100)*C119</f>
        <v>0.6</v>
      </c>
      <c r="E119">
        <v>3</v>
      </c>
      <c r="F119">
        <f>($B119/100)*E119</f>
        <v>0.44999999999999996</v>
      </c>
      <c r="G119">
        <v>4</v>
      </c>
      <c r="H119">
        <f>($B119/100)*G119</f>
        <v>0.6</v>
      </c>
    </row>
    <row r="120" spans="1:8">
      <c r="A120" t="s">
        <v>282</v>
      </c>
      <c r="B120">
        <f>SUM(B115:B119)</f>
        <v>100</v>
      </c>
      <c r="D120">
        <f>SUM(D115:D119)</f>
        <v>4.3999999999999995</v>
      </c>
      <c r="F120">
        <f>SUM(F115:F119)</f>
        <v>2.95</v>
      </c>
      <c r="H120">
        <f>SUM(H115:H119)</f>
        <v>3.6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85651-D5C1-49FF-B24A-00E5148643BF}">
  <dimension ref="A1:H7"/>
  <sheetViews>
    <sheetView workbookViewId="0">
      <selection activeCell="C2" sqref="C2"/>
    </sheetView>
  </sheetViews>
  <sheetFormatPr defaultRowHeight="15"/>
  <cols>
    <col min="1" max="1" width="21.42578125" bestFit="1" customWidth="1"/>
    <col min="2" max="2" width="9.28515625" bestFit="1" customWidth="1"/>
    <col min="4" max="4" width="9.28515625" bestFit="1" customWidth="1"/>
    <col min="6" max="6" width="9.28515625" bestFit="1" customWidth="1"/>
    <col min="8" max="8" width="9.28515625" bestFit="1" customWidth="1"/>
  </cols>
  <sheetData>
    <row r="1" spans="1:8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</row>
    <row r="2" spans="1:8">
      <c r="A2" t="s">
        <v>277</v>
      </c>
      <c r="B2">
        <v>20</v>
      </c>
      <c r="C2">
        <v>4.5</v>
      </c>
      <c r="D2">
        <f>($B2/100)*C2</f>
        <v>0.9</v>
      </c>
      <c r="E2">
        <v>5</v>
      </c>
      <c r="F2">
        <f>($B2/100)*E2</f>
        <v>1</v>
      </c>
      <c r="G2">
        <v>5</v>
      </c>
      <c r="H2">
        <f>($B2/100)*G2</f>
        <v>1</v>
      </c>
    </row>
    <row r="3" spans="1:8">
      <c r="A3" t="s">
        <v>278</v>
      </c>
      <c r="B3">
        <v>30</v>
      </c>
      <c r="C3">
        <v>4.5</v>
      </c>
      <c r="D3">
        <f>($B3/100)*C3</f>
        <v>1.3499999999999999</v>
      </c>
      <c r="E3">
        <v>5</v>
      </c>
      <c r="F3">
        <f>($B3/100)*E3</f>
        <v>1.5</v>
      </c>
      <c r="G3">
        <v>5</v>
      </c>
      <c r="H3">
        <f>($B3/100)*G3</f>
        <v>1.5</v>
      </c>
    </row>
    <row r="4" spans="1:8">
      <c r="A4" t="s">
        <v>279</v>
      </c>
      <c r="B4">
        <v>25</v>
      </c>
      <c r="C4">
        <v>2.5</v>
      </c>
      <c r="D4">
        <f>($B4/100)*C4</f>
        <v>0.625</v>
      </c>
      <c r="E4">
        <v>1</v>
      </c>
      <c r="F4">
        <f>($B4/100)*E4</f>
        <v>0.25</v>
      </c>
      <c r="G4">
        <v>4</v>
      </c>
      <c r="H4">
        <f>($B4/100)*G4</f>
        <v>1</v>
      </c>
    </row>
    <row r="5" spans="1:8">
      <c r="A5" t="s">
        <v>280</v>
      </c>
      <c r="B5">
        <v>10</v>
      </c>
      <c r="C5">
        <v>3.7</v>
      </c>
      <c r="D5">
        <f>($B5/100)*C5</f>
        <v>0.37000000000000005</v>
      </c>
      <c r="E5">
        <v>4</v>
      </c>
      <c r="F5">
        <f>($B5/100)*E5</f>
        <v>0.4</v>
      </c>
      <c r="G5">
        <v>4</v>
      </c>
      <c r="H5">
        <f>($B5/100)*G5</f>
        <v>0.4</v>
      </c>
    </row>
    <row r="6" spans="1:8">
      <c r="A6" t="s">
        <v>281</v>
      </c>
      <c r="B6">
        <v>15</v>
      </c>
      <c r="C6">
        <v>4</v>
      </c>
      <c r="D6">
        <f>($B6/100)*C6</f>
        <v>0.6</v>
      </c>
      <c r="E6">
        <v>4</v>
      </c>
      <c r="F6">
        <f>($B6/100)*E6</f>
        <v>0.6</v>
      </c>
      <c r="G6">
        <v>4</v>
      </c>
      <c r="H6">
        <f>($B6/100)*G6</f>
        <v>0.6</v>
      </c>
    </row>
    <row r="7" spans="1:8">
      <c r="A7" t="s">
        <v>282</v>
      </c>
      <c r="B7">
        <f>SUM(B2:B6)</f>
        <v>100</v>
      </c>
      <c r="D7">
        <f>SUM(D2:D6)</f>
        <v>3.8450000000000002</v>
      </c>
      <c r="F7">
        <f>SUM(F2:F6)</f>
        <v>3.75</v>
      </c>
      <c r="H7">
        <f>SUM(H2:H6)</f>
        <v>4.5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A8436-5937-473B-BD26-FBB62A0BD9FA}">
  <dimension ref="A1:C10"/>
  <sheetViews>
    <sheetView workbookViewId="0">
      <selection sqref="A1:C10"/>
    </sheetView>
  </sheetViews>
  <sheetFormatPr defaultRowHeight="15"/>
  <cols>
    <col min="1" max="1" width="35.7109375" bestFit="1" customWidth="1"/>
  </cols>
  <sheetData>
    <row r="1" spans="1:3">
      <c r="A1" t="s">
        <v>185</v>
      </c>
      <c r="B1" t="s">
        <v>171</v>
      </c>
      <c r="C1" t="s">
        <v>172</v>
      </c>
    </row>
    <row r="2" spans="1:3">
      <c r="A2" t="s">
        <v>217</v>
      </c>
      <c r="B2">
        <v>0.68500000000000005</v>
      </c>
      <c r="C2" t="s">
        <v>177</v>
      </c>
    </row>
    <row r="3" spans="1:3">
      <c r="A3" t="s">
        <v>218</v>
      </c>
      <c r="B3">
        <v>0.3</v>
      </c>
      <c r="C3" t="s">
        <v>219</v>
      </c>
    </row>
    <row r="4" spans="1:3">
      <c r="A4" t="s">
        <v>220</v>
      </c>
      <c r="B4">
        <v>0.2</v>
      </c>
      <c r="C4" t="s">
        <v>219</v>
      </c>
    </row>
    <row r="5" spans="1:3">
      <c r="A5" t="s">
        <v>221</v>
      </c>
      <c r="B5">
        <v>0.68300000000000005</v>
      </c>
      <c r="C5" t="s">
        <v>222</v>
      </c>
    </row>
    <row r="6" spans="1:3">
      <c r="A6" t="s">
        <v>223</v>
      </c>
      <c r="B6">
        <f>B3*B5</f>
        <v>0.2049</v>
      </c>
      <c r="C6" t="s">
        <v>222</v>
      </c>
    </row>
    <row r="7" spans="1:3">
      <c r="A7" t="s">
        <v>224</v>
      </c>
      <c r="B7">
        <f>B4*B5</f>
        <v>0.13660000000000003</v>
      </c>
      <c r="C7" t="s">
        <v>222</v>
      </c>
    </row>
    <row r="8" spans="1:3">
      <c r="A8" t="s">
        <v>225</v>
      </c>
      <c r="B8">
        <v>0.60299999999999998</v>
      </c>
      <c r="C8" t="s">
        <v>222</v>
      </c>
    </row>
    <row r="9" spans="1:3">
      <c r="A9" t="s">
        <v>226</v>
      </c>
      <c r="B9">
        <f>B8-B7</f>
        <v>0.46639999999999993</v>
      </c>
      <c r="C9" t="s">
        <v>222</v>
      </c>
    </row>
    <row r="10" spans="1:3">
      <c r="A10" t="s">
        <v>227</v>
      </c>
      <c r="B10">
        <f>B9/B2</f>
        <v>0.680875912408759</v>
      </c>
      <c r="C10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2025-10-28T02:29:10Z</dcterms:created>
  <dcterms:modified xsi:type="dcterms:W3CDTF">2026-01-12T19:55:02Z</dcterms:modified>
  <cp:category/>
  <cp:contentStatus/>
</cp:coreProperties>
</file>